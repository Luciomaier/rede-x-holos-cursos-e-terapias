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ba x 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0.00&quot;×&quot;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334155"/>
      <sz val="10"/>
    </font>
    <font>
      <b val="1"/>
      <color rgb="00FFFFFF"/>
    </font>
    <font>
      <b val="1"/>
      <color rgb="000F172A"/>
    </font>
    <font>
      <color rgb="00334155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ECACA"/>
        </patternFill>
      </fill>
    </dxf>
    <dxf>
      <fill>
        <patternFill patternType="solid">
          <fgColor rgb="00FEF08A"/>
        </patternFill>
      </fill>
    </dxf>
    <dxf>
      <fill>
        <patternFill patternType="solid">
          <fgColor rgb="00BBF7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3" customWidth="1" min="4" max="4"/>
    <col width="9" customWidth="1" min="5" max="5"/>
    <col width="11" customWidth="1" min="6" max="6"/>
    <col width="14" customWidth="1" min="7" max="7"/>
    <col width="11" customWidth="1" min="8" max="8"/>
    <col width="11" customWidth="1" min="9" max="9"/>
    <col width="14" customWidth="1" min="10" max="10"/>
    <col width="9" customWidth="1" min="11" max="11"/>
  </cols>
  <sheetData>
    <row r="1" ht="28" customHeight="1">
      <c r="A1" s="1" t="inlineStr">
        <is>
          <t>DISTRIBUIÇÃO DE VERBA × RESULTADO — Holos</t>
        </is>
      </c>
    </row>
    <row r="2" ht="22" customHeight="1">
      <c r="A2" s="2" t="inlineStr">
        <is>
          <t>Preencha só as colunas AMARELAS (verba, leads, matrículas, faturamento). As CINZAS calculam sozinhas.   |   Período: ____ /____ a ____ /____</t>
        </is>
      </c>
    </row>
    <row r="4" ht="34" customHeight="1">
      <c r="A4" s="3" t="inlineStr">
        <is>
          <t>Campanha</t>
        </is>
      </c>
      <c r="B4" s="3" t="inlineStr">
        <is>
          <t>Verba Google</t>
        </is>
      </c>
      <c r="C4" s="3" t="inlineStr">
        <is>
          <t>Verba Meta</t>
        </is>
      </c>
      <c r="D4" s="3" t="inlineStr">
        <is>
          <t>Verba Total</t>
        </is>
      </c>
      <c r="E4" s="3" t="inlineStr">
        <is>
          <t>Leads</t>
        </is>
      </c>
      <c r="F4" s="3" t="inlineStr">
        <is>
          <t>Matrículas</t>
        </is>
      </c>
      <c r="G4" s="3" t="inlineStr">
        <is>
          <t>Faturamento</t>
        </is>
      </c>
      <c r="H4" s="3" t="inlineStr">
        <is>
          <t>% da Verba</t>
        </is>
      </c>
      <c r="I4" s="3" t="inlineStr">
        <is>
          <t>CPL</t>
        </is>
      </c>
      <c r="J4" s="3" t="inlineStr">
        <is>
          <t>Custo / Matrícula</t>
        </is>
      </c>
      <c r="K4" s="3" t="inlineStr">
        <is>
          <t>ROAS</t>
        </is>
      </c>
    </row>
    <row r="5">
      <c r="A5" s="4" t="inlineStr">
        <is>
          <t>Masso Geral / Presencial</t>
        </is>
      </c>
      <c r="B5" s="5" t="n"/>
      <c r="C5" s="5" t="n"/>
      <c r="D5" s="6">
        <f>B5+C5</f>
        <v/>
      </c>
      <c r="E5" s="7" t="n"/>
      <c r="F5" s="7" t="n"/>
      <c r="G5" s="5" t="n"/>
      <c r="H5" s="8">
        <f>IF($D$17=0,"",D5/$D$17)</f>
        <v/>
      </c>
      <c r="I5" s="6">
        <f>IF(E5=0,"",D5/E5)</f>
        <v/>
      </c>
      <c r="J5" s="6">
        <f>IF(F5=0,"",D5/F5)</f>
        <v/>
      </c>
      <c r="K5" s="9">
        <f>IF(D5=0,"",G5/D5)</f>
        <v/>
      </c>
    </row>
    <row r="6">
      <c r="A6" s="4" t="inlineStr">
        <is>
          <t>Mensalidades 50%</t>
        </is>
      </c>
      <c r="B6" s="5" t="n"/>
      <c r="C6" s="5" t="n"/>
      <c r="D6" s="6">
        <f>B6+C6</f>
        <v/>
      </c>
      <c r="E6" s="7" t="n"/>
      <c r="F6" s="7" t="n"/>
      <c r="G6" s="5" t="n"/>
      <c r="H6" s="8">
        <f>IF($D$17=0,"",D6/$D$17)</f>
        <v/>
      </c>
      <c r="I6" s="6">
        <f>IF(E6=0,"",D6/E6)</f>
        <v/>
      </c>
      <c r="J6" s="6">
        <f>IF(F6=0,"",D6/F6)</f>
        <v/>
      </c>
      <c r="K6" s="9">
        <f>IF(D6=0,"",G6/D6)</f>
        <v/>
      </c>
    </row>
    <row r="7">
      <c r="A7" s="4" t="inlineStr">
        <is>
          <t>Aula experimental</t>
        </is>
      </c>
      <c r="B7" s="5" t="n"/>
      <c r="C7" s="5" t="n"/>
      <c r="D7" s="6">
        <f>B7+C7</f>
        <v/>
      </c>
      <c r="E7" s="7" t="n"/>
      <c r="F7" s="7" t="n"/>
      <c r="G7" s="5" t="n"/>
      <c r="H7" s="8">
        <f>IF($D$17=0,"",D7/$D$17)</f>
        <v/>
      </c>
      <c r="I7" s="6">
        <f>IF(E7=0,"",D7/E7)</f>
        <v/>
      </c>
      <c r="J7" s="6">
        <f>IF(F7=0,"",D7/F7)</f>
        <v/>
      </c>
      <c r="K7" s="9">
        <f>IF(D7=0,"",G7/D7)</f>
        <v/>
      </c>
    </row>
    <row r="8">
      <c r="A8" s="4" t="inlineStr">
        <is>
          <t>Intensivo flex 21 dias</t>
        </is>
      </c>
      <c r="B8" s="5" t="n"/>
      <c r="C8" s="5" t="n"/>
      <c r="D8" s="6">
        <f>B8+C8</f>
        <v/>
      </c>
      <c r="E8" s="7" t="n"/>
      <c r="F8" s="7" t="n"/>
      <c r="G8" s="5" t="n"/>
      <c r="H8" s="8">
        <f>IF($D$17=0,"",D8/$D$17)</f>
        <v/>
      </c>
      <c r="I8" s="6">
        <f>IF(E8=0,"",D8/E8)</f>
        <v/>
      </c>
      <c r="J8" s="6">
        <f>IF(F8=0,"",D8/F8)</f>
        <v/>
      </c>
      <c r="K8" s="9">
        <f>IF(D8=0,"",G8/D8)</f>
        <v/>
      </c>
    </row>
    <row r="9">
      <c r="A9" s="4" t="inlineStr">
        <is>
          <t>Locação de Salas</t>
        </is>
      </c>
      <c r="B9" s="5" t="n"/>
      <c r="C9" s="5" t="n"/>
      <c r="D9" s="6">
        <f>B9+C9</f>
        <v/>
      </c>
      <c r="E9" s="7" t="n"/>
      <c r="F9" s="7" t="n"/>
      <c r="G9" s="5" t="n"/>
      <c r="H9" s="8">
        <f>IF($D$17=0,"",D9/$D$17)</f>
        <v/>
      </c>
      <c r="I9" s="6">
        <f>IF(E9=0,"",D9/E9)</f>
        <v/>
      </c>
      <c r="J9" s="6">
        <f>IF(F9=0,"",D9/F9)</f>
        <v/>
      </c>
      <c r="K9" s="9">
        <f>IF(D9=0,"",G9/D9)</f>
        <v/>
      </c>
    </row>
    <row r="10">
      <c r="A10" s="4" t="inlineStr">
        <is>
          <t>Desportiva 4x1 (livre)</t>
        </is>
      </c>
      <c r="B10" s="5" t="n"/>
      <c r="C10" s="5" t="n"/>
      <c r="D10" s="6">
        <f>B10+C10</f>
        <v/>
      </c>
      <c r="E10" s="7" t="n"/>
      <c r="F10" s="7" t="n"/>
      <c r="G10" s="5" t="n"/>
      <c r="H10" s="8">
        <f>IF($D$17=0,"",D10/$D$17)</f>
        <v/>
      </c>
      <c r="I10" s="6">
        <f>IF(E10=0,"",D10/E10)</f>
        <v/>
      </c>
      <c r="J10" s="6">
        <f>IF(F10=0,"",D10/F10)</f>
        <v/>
      </c>
      <c r="K10" s="9">
        <f>IF(D10=0,"",G10/D10)</f>
        <v/>
      </c>
    </row>
    <row r="11">
      <c r="A11" s="4" t="inlineStr">
        <is>
          <t>Quiropraxia (livre)</t>
        </is>
      </c>
      <c r="B11" s="5" t="n"/>
      <c r="C11" s="5" t="n"/>
      <c r="D11" s="6">
        <f>B11+C11</f>
        <v/>
      </c>
      <c r="E11" s="7" t="n"/>
      <c r="F11" s="7" t="n"/>
      <c r="G11" s="5" t="n"/>
      <c r="H11" s="8">
        <f>IF($D$17=0,"",D11/$D$17)</f>
        <v/>
      </c>
      <c r="I11" s="6">
        <f>IF(E11=0,"",D11/E11)</f>
        <v/>
      </c>
      <c r="J11" s="6">
        <f>IF(F11=0,"",D11/F11)</f>
        <v/>
      </c>
      <c r="K11" s="9">
        <f>IF(D11=0,"",G11/D11)</f>
        <v/>
      </c>
    </row>
    <row r="12">
      <c r="A12" s="4" t="inlineStr">
        <is>
          <t>Auriculo (livre)</t>
        </is>
      </c>
      <c r="B12" s="5" t="n"/>
      <c r="C12" s="5" t="n"/>
      <c r="D12" s="6">
        <f>B12+C12</f>
        <v/>
      </c>
      <c r="E12" s="7" t="n"/>
      <c r="F12" s="7" t="n"/>
      <c r="G12" s="5" t="n"/>
      <c r="H12" s="8">
        <f>IF($D$17=0,"",D12/$D$17)</f>
        <v/>
      </c>
      <c r="I12" s="6">
        <f>IF(E12=0,"",D12/E12)</f>
        <v/>
      </c>
      <c r="J12" s="6">
        <f>IF(F12=0,"",D12/F12)</f>
        <v/>
      </c>
      <c r="K12" s="9">
        <f>IF(D12=0,"",G12/D12)</f>
        <v/>
      </c>
    </row>
    <row r="13">
      <c r="A13" s="4" t="inlineStr">
        <is>
          <t>Tarô Terapêutico (livre)</t>
        </is>
      </c>
      <c r="B13" s="5" t="n"/>
      <c r="C13" s="5" t="n"/>
      <c r="D13" s="6">
        <f>B13+C13</f>
        <v/>
      </c>
      <c r="E13" s="7" t="n"/>
      <c r="F13" s="7" t="n"/>
      <c r="G13" s="5" t="n"/>
      <c r="H13" s="8">
        <f>IF($D$17=0,"",D13/$D$17)</f>
        <v/>
      </c>
      <c r="I13" s="6">
        <f>IF(E13=0,"",D13/E13)</f>
        <v/>
      </c>
      <c r="J13" s="6">
        <f>IF(F13=0,"",D13/F13)</f>
        <v/>
      </c>
      <c r="K13" s="9">
        <f>IF(D13=0,"",G13/D13)</f>
        <v/>
      </c>
    </row>
    <row r="14">
      <c r="A14" s="4" t="inlineStr">
        <is>
          <t>Reiki (livre)</t>
        </is>
      </c>
      <c r="B14" s="5" t="n"/>
      <c r="C14" s="5" t="n"/>
      <c r="D14" s="6">
        <f>B14+C14</f>
        <v/>
      </c>
      <c r="E14" s="7" t="n"/>
      <c r="F14" s="7" t="n"/>
      <c r="G14" s="5" t="n"/>
      <c r="H14" s="8">
        <f>IF($D$17=0,"",D14/$D$17)</f>
        <v/>
      </c>
      <c r="I14" s="6">
        <f>IF(E14=0,"",D14/E14)</f>
        <v/>
      </c>
      <c r="J14" s="6">
        <f>IF(F14=0,"",D14/F14)</f>
        <v/>
      </c>
      <c r="K14" s="9">
        <f>IF(D14=0,"",G14/D14)</f>
        <v/>
      </c>
    </row>
    <row r="15">
      <c r="A15" s="4" t="inlineStr">
        <is>
          <t>Kabbalah (livre)</t>
        </is>
      </c>
      <c r="B15" s="5" t="n"/>
      <c r="C15" s="5" t="n"/>
      <c r="D15" s="6">
        <f>B15+C15</f>
        <v/>
      </c>
      <c r="E15" s="7" t="n"/>
      <c r="F15" s="7" t="n"/>
      <c r="G15" s="5" t="n"/>
      <c r="H15" s="8">
        <f>IF($D$17=0,"",D15/$D$17)</f>
        <v/>
      </c>
      <c r="I15" s="6">
        <f>IF(E15=0,"",D15/E15)</f>
        <v/>
      </c>
      <c r="J15" s="6">
        <f>IF(F15=0,"",D15/F15)</f>
        <v/>
      </c>
      <c r="K15" s="9">
        <f>IF(D15=0,"",G15/D15)</f>
        <v/>
      </c>
    </row>
    <row r="16">
      <c r="A16" s="4" t="inlineStr">
        <is>
          <t>(adicionar)</t>
        </is>
      </c>
      <c r="B16" s="5" t="n"/>
      <c r="C16" s="5" t="n"/>
      <c r="D16" s="6">
        <f>B16+C16</f>
        <v/>
      </c>
      <c r="E16" s="7" t="n"/>
      <c r="F16" s="7" t="n"/>
      <c r="G16" s="5" t="n"/>
      <c r="H16" s="8">
        <f>IF($D$17=0,"",D16/$D$17)</f>
        <v/>
      </c>
      <c r="I16" s="6">
        <f>IF(E16=0,"",D16/E16)</f>
        <v/>
      </c>
      <c r="J16" s="6">
        <f>IF(F16=0,"",D16/F16)</f>
        <v/>
      </c>
      <c r="K16" s="9">
        <f>IF(D16=0,"",G16/D16)</f>
        <v/>
      </c>
    </row>
    <row r="17">
      <c r="A17" s="10" t="inlineStr">
        <is>
          <t>TOTAL</t>
        </is>
      </c>
      <c r="B17" s="11">
        <f>SUM(B5:B16)</f>
        <v/>
      </c>
      <c r="C17" s="11">
        <f>SUM(C5:C16)</f>
        <v/>
      </c>
      <c r="D17" s="11">
        <f>SUM(D5:D16)</f>
        <v/>
      </c>
      <c r="E17" s="12">
        <f>SUM(E5:E16)</f>
        <v/>
      </c>
      <c r="F17" s="12">
        <f>SUM(F5:F16)</f>
        <v/>
      </c>
      <c r="G17" s="11">
        <f>SUM(G5:G16)</f>
        <v/>
      </c>
      <c r="H17" s="13">
        <f>IF(D17=0,"",1)</f>
        <v/>
      </c>
      <c r="I17" s="11">
        <f>IF(E17=0,"",D17/E17)</f>
        <v/>
      </c>
      <c r="J17" s="11">
        <f>IF(F17=0,"",D17/F17)</f>
        <v/>
      </c>
      <c r="K17" s="14">
        <f>IF(D17=0,"",G17/D17)</f>
        <v/>
      </c>
    </row>
    <row r="19">
      <c r="A19" s="15" t="inlineStr">
        <is>
          <t>COMO LER  —  CPL = quanto custa cada lead · Custo/Matrícula = quanto custou cada aluno · ROAS = R$ que voltou pra cada R$1 investido</t>
        </is>
      </c>
    </row>
    <row r="20">
      <c r="A20" s="16" t="inlineStr">
        <is>
          <t>🟡 Amarelo = você preenche.  ⬜ Cinza = calcula sozinho.</t>
        </is>
      </c>
    </row>
    <row r="21">
      <c r="A21" s="16" t="inlineStr">
        <is>
          <t>ROAS: 🟥 abaixo de 1× (perde dinheiro) · 🟨 entre 1× e 3× (ok) · 🟩 acima de 3× (bom).</t>
        </is>
      </c>
    </row>
    <row r="22">
      <c r="A22" s="16" t="inlineStr">
        <is>
          <t>De onde vem cada número:  Verba Google → Windsor · Verba Meta → Gerenciador Meta · Leads → ZenPro · Matrículas/Faturamento → planilha META DE VENDAS.</t>
        </is>
      </c>
    </row>
    <row r="23">
      <c r="A23" s="16" t="inlineStr">
        <is>
          <t>Referência histórica: só o Google da massoterapia rodava ~R$19–20k/mês (jan–mai). Use pra ver se a distribuição faz sentido.</t>
        </is>
      </c>
    </row>
  </sheetData>
  <mergeCells count="7">
    <mergeCell ref="A22:K22"/>
    <mergeCell ref="A20:K20"/>
    <mergeCell ref="A21:K21"/>
    <mergeCell ref="A2:K2"/>
    <mergeCell ref="A19:K19"/>
    <mergeCell ref="A1:K1"/>
    <mergeCell ref="A23:K23"/>
  </mergeCells>
  <conditionalFormatting sqref="K5:K17">
    <cfRule type="cellIs" priority="1" operator="lessThan" dxfId="0">
      <formula>1</formula>
    </cfRule>
    <cfRule type="cellIs" priority="2" operator="between" dxfId="1">
      <formula>1</formula>
      <formula>3</formula>
    </cfRule>
    <cfRule type="cellIs" priority="3" operator="greaterThan" dxfId="2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2026-06-23T12:52:05Z</dcterms:created>
  <dcterms:modified xsi:type="dcterms:W3CDTF">2026-06-23T12:52:05Z</dcterms:modified>
</cp:coreProperties>
</file>